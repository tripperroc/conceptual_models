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1" sheetId="1" r:id="rId5"/>
    <sheet state="visible" name="Model2" sheetId="2" r:id="rId6"/>
    <sheet state="visible" name="Model3" sheetId="3" r:id="rId7"/>
    <sheet state="visible" name="Model4" sheetId="4" r:id="rId8"/>
    <sheet state="visible" name="Model5" sheetId="5" r:id="rId9"/>
  </sheets>
  <definedNames/>
  <calcPr/>
</workbook>
</file>

<file path=xl/sharedStrings.xml><?xml version="1.0" encoding="utf-8"?>
<sst xmlns="http://schemas.openxmlformats.org/spreadsheetml/2006/main" count="10" uniqueCount="2">
  <si>
    <t>K, PPM</t>
  </si>
  <si>
    <t>Sugars,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</si>
</sst>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M1: Sugars, g vs. K, PPM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Model1!$B$1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Model1!$A$2:$A$22</c:f>
            </c:strRef>
          </c:cat>
          <c:val>
            <c:numRef>
              <c:f>Model1!$B$2:$B$22</c:f>
              <c:numCache/>
            </c:numRef>
          </c:val>
          <c:smooth val="0"/>
        </c:ser>
        <c:axId val="1426784466"/>
        <c:axId val="1147486029"/>
      </c:lineChart>
      <c:catAx>
        <c:axId val="1426784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K, 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486029"/>
      </c:catAx>
      <c:valAx>
        <c:axId val="1147486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Sugars, 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784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M2: Sugars, g vs. K, PPM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Model2!$B$1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Model2!$A$2:$A$22</c:f>
            </c:strRef>
          </c:cat>
          <c:val>
            <c:numRef>
              <c:f>Model2!$B$2:$B$22</c:f>
              <c:numCache/>
            </c:numRef>
          </c:val>
          <c:smooth val="0"/>
        </c:ser>
        <c:axId val="263256863"/>
        <c:axId val="678404305"/>
      </c:lineChart>
      <c:catAx>
        <c:axId val="263256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K, 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8404305"/>
      </c:catAx>
      <c:valAx>
        <c:axId val="678404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Sugars, 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2568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M3: Sugars, g vs. K, PPM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Model3!$B$1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Model3!$A$2:$A$22</c:f>
            </c:strRef>
          </c:cat>
          <c:val>
            <c:numRef>
              <c:f>Model3!$B$2:$B$22</c:f>
              <c:numCache/>
            </c:numRef>
          </c:val>
          <c:smooth val="0"/>
        </c:ser>
        <c:axId val="1782640233"/>
        <c:axId val="1627092387"/>
      </c:lineChart>
      <c:catAx>
        <c:axId val="1782640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K, 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092387"/>
      </c:catAx>
      <c:valAx>
        <c:axId val="1627092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Sugars, 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6402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M4: Sugars, g vs. K, PPM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Model4!$B$1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Model4!$A$2:$A$22</c:f>
            </c:strRef>
          </c:cat>
          <c:val>
            <c:numRef>
              <c:f>Model4!$B$2:$B$22</c:f>
              <c:numCache/>
            </c:numRef>
          </c:val>
          <c:smooth val="0"/>
        </c:ser>
        <c:axId val="1361217197"/>
        <c:axId val="2006774439"/>
      </c:lineChart>
      <c:catAx>
        <c:axId val="1361217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K, 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774439"/>
      </c:catAx>
      <c:valAx>
        <c:axId val="2006774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Sugars, 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2171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M5: Sugars, g vs. K, PPM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Model5!$B$1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Model5!$A$2:$A$22</c:f>
            </c:strRef>
          </c:cat>
          <c:val>
            <c:numRef>
              <c:f>Model5!$B$2:$B$22</c:f>
              <c:numCache/>
            </c:numRef>
          </c:val>
          <c:smooth val="0"/>
        </c:ser>
        <c:axId val="377548561"/>
        <c:axId val="82349987"/>
      </c:lineChart>
      <c:catAx>
        <c:axId val="377548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K, 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49987"/>
      </c:catAx>
      <c:valAx>
        <c:axId val="82349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Sugars, 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75485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0</xdr:row>
      <xdr:rowOff>0</xdr:rowOff>
    </xdr:from>
    <xdr:ext cx="24574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2</xdr:row>
      <xdr:rowOff>57150</xdr:rowOff>
    </xdr:from>
    <xdr:ext cx="24574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2</xdr:row>
      <xdr:rowOff>57150</xdr:rowOff>
    </xdr:from>
    <xdr:ext cx="245745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2</xdr:row>
      <xdr:rowOff>57150</xdr:rowOff>
    </xdr:from>
    <xdr:ext cx="24574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2</xdr:row>
      <xdr:rowOff>57150</xdr:rowOff>
    </xdr:from>
    <xdr:ext cx="245745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2">
        <v>120.0</v>
      </c>
      <c r="B2" s="2">
        <v>1.94</v>
      </c>
    </row>
    <row r="3">
      <c r="A3" s="2">
        <v>125.0</v>
      </c>
      <c r="B3" s="2">
        <v>1.69</v>
      </c>
    </row>
    <row r="4">
      <c r="A4" s="2">
        <v>133.0</v>
      </c>
      <c r="B4" s="2">
        <v>2.01</v>
      </c>
    </row>
    <row r="5">
      <c r="A5" s="2">
        <v>133.0</v>
      </c>
      <c r="B5" s="2">
        <v>2.04</v>
      </c>
    </row>
    <row r="6">
      <c r="A6" s="2">
        <v>139.0</v>
      </c>
      <c r="B6" s="2">
        <v>1.99</v>
      </c>
    </row>
    <row r="7">
      <c r="A7" s="2">
        <v>151.0</v>
      </c>
      <c r="B7" s="2">
        <v>0.9</v>
      </c>
    </row>
    <row r="8">
      <c r="A8" s="2">
        <v>155.0</v>
      </c>
      <c r="B8" s="2">
        <v>2.3</v>
      </c>
    </row>
    <row r="9">
      <c r="A9" s="2">
        <v>170.0</v>
      </c>
      <c r="B9" s="2">
        <v>2.39</v>
      </c>
    </row>
    <row r="10">
      <c r="A10" s="2">
        <v>182.0</v>
      </c>
      <c r="B10" s="2">
        <v>2.45</v>
      </c>
    </row>
    <row r="11">
      <c r="A11" s="2">
        <v>189.0</v>
      </c>
      <c r="B11" s="2">
        <v>2.63</v>
      </c>
    </row>
    <row r="12">
      <c r="A12" s="2">
        <v>202.0</v>
      </c>
      <c r="B12" s="2">
        <v>2.55</v>
      </c>
    </row>
    <row r="13">
      <c r="A13" s="2">
        <v>218.0</v>
      </c>
      <c r="B13" s="2">
        <v>2.61</v>
      </c>
    </row>
    <row r="14">
      <c r="A14" s="2">
        <v>220.0</v>
      </c>
      <c r="B14" s="2">
        <v>2.78</v>
      </c>
    </row>
    <row r="15">
      <c r="A15" s="2">
        <v>221.0</v>
      </c>
      <c r="B15" s="2">
        <v>2.8</v>
      </c>
    </row>
    <row r="16">
      <c r="A16" s="2">
        <v>234.0</v>
      </c>
      <c r="B16" s="2">
        <v>2.84</v>
      </c>
    </row>
    <row r="17">
      <c r="A17" s="2">
        <v>240.0</v>
      </c>
      <c r="B17" s="2">
        <v>2.94</v>
      </c>
    </row>
    <row r="18">
      <c r="A18" s="2">
        <v>248.0</v>
      </c>
      <c r="B18" s="2">
        <v>2.89</v>
      </c>
    </row>
    <row r="19">
      <c r="A19" s="2">
        <v>253.0</v>
      </c>
      <c r="B19" s="2">
        <v>2.92</v>
      </c>
    </row>
    <row r="20">
      <c r="A20" s="2">
        <v>260.0</v>
      </c>
      <c r="B20" s="2">
        <v>2.95</v>
      </c>
    </row>
    <row r="21">
      <c r="A21" s="2">
        <v>265.0</v>
      </c>
      <c r="B21" s="2">
        <v>2.97</v>
      </c>
    </row>
    <row r="22">
      <c r="A22" s="2">
        <v>268.0</v>
      </c>
      <c r="B22" s="2">
        <v>3.03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2">
        <v>120.0</v>
      </c>
      <c r="B2" s="3">
        <f t="shared" ref="B2:B22" si="1">(A2-120)*0.0074 + 1.94</f>
        <v>1.94</v>
      </c>
    </row>
    <row r="3">
      <c r="A3" s="2">
        <v>125.0</v>
      </c>
      <c r="B3" s="3">
        <f t="shared" si="1"/>
        <v>1.977</v>
      </c>
    </row>
    <row r="4">
      <c r="A4" s="2">
        <v>133.0</v>
      </c>
      <c r="B4" s="3">
        <f t="shared" si="1"/>
        <v>2.0362</v>
      </c>
    </row>
    <row r="5">
      <c r="A5" s="2">
        <v>133.0</v>
      </c>
      <c r="B5" s="3">
        <f t="shared" si="1"/>
        <v>2.0362</v>
      </c>
    </row>
    <row r="6">
      <c r="A6" s="2">
        <v>139.0</v>
      </c>
      <c r="B6" s="3">
        <f t="shared" si="1"/>
        <v>2.0806</v>
      </c>
    </row>
    <row r="7">
      <c r="A7" s="2">
        <v>151.0</v>
      </c>
      <c r="B7" s="3">
        <f t="shared" si="1"/>
        <v>2.1694</v>
      </c>
    </row>
    <row r="8">
      <c r="A8" s="2">
        <v>155.0</v>
      </c>
      <c r="B8" s="3">
        <f t="shared" si="1"/>
        <v>2.199</v>
      </c>
    </row>
    <row r="9">
      <c r="A9" s="2">
        <v>170.0</v>
      </c>
      <c r="B9" s="3">
        <f t="shared" si="1"/>
        <v>2.31</v>
      </c>
    </row>
    <row r="10">
      <c r="A10" s="2">
        <v>182.0</v>
      </c>
      <c r="B10" s="3">
        <f t="shared" si="1"/>
        <v>2.3988</v>
      </c>
    </row>
    <row r="11">
      <c r="A11" s="2">
        <v>189.0</v>
      </c>
      <c r="B11" s="3">
        <f t="shared" si="1"/>
        <v>2.4506</v>
      </c>
    </row>
    <row r="12">
      <c r="A12" s="2">
        <v>202.0</v>
      </c>
      <c r="B12" s="3">
        <f t="shared" si="1"/>
        <v>2.5468</v>
      </c>
    </row>
    <row r="13">
      <c r="A13" s="2">
        <v>218.0</v>
      </c>
      <c r="B13" s="3">
        <f t="shared" si="1"/>
        <v>2.6652</v>
      </c>
    </row>
    <row r="14">
      <c r="A14" s="2">
        <v>220.0</v>
      </c>
      <c r="B14" s="3">
        <f t="shared" si="1"/>
        <v>2.68</v>
      </c>
    </row>
    <row r="15">
      <c r="A15" s="2">
        <v>221.0</v>
      </c>
      <c r="B15" s="3">
        <f t="shared" si="1"/>
        <v>2.6874</v>
      </c>
    </row>
    <row r="16">
      <c r="A16" s="2">
        <v>234.0</v>
      </c>
      <c r="B16" s="3">
        <f t="shared" si="1"/>
        <v>2.7836</v>
      </c>
    </row>
    <row r="17">
      <c r="A17" s="2">
        <v>240.0</v>
      </c>
      <c r="B17" s="3">
        <f t="shared" si="1"/>
        <v>2.828</v>
      </c>
    </row>
    <row r="18">
      <c r="A18" s="2">
        <v>248.0</v>
      </c>
      <c r="B18" s="3">
        <f t="shared" si="1"/>
        <v>2.8872</v>
      </c>
    </row>
    <row r="19">
      <c r="A19" s="2">
        <v>253.0</v>
      </c>
      <c r="B19" s="3">
        <f t="shared" si="1"/>
        <v>2.9242</v>
      </c>
    </row>
    <row r="20">
      <c r="A20" s="2">
        <v>260.0</v>
      </c>
      <c r="B20" s="3">
        <f t="shared" si="1"/>
        <v>2.976</v>
      </c>
    </row>
    <row r="21">
      <c r="A21" s="2">
        <v>265.0</v>
      </c>
      <c r="B21" s="3">
        <f t="shared" si="1"/>
        <v>3.013</v>
      </c>
    </row>
    <row r="22">
      <c r="A22" s="2">
        <v>268.0</v>
      </c>
      <c r="B22" s="3">
        <f t="shared" si="1"/>
        <v>3.0352</v>
      </c>
    </row>
    <row r="28">
      <c r="B28" s="3">
        <f>(3.03-1.94)/(268-120)</f>
        <v>0.007364864865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2">
        <v>120.0</v>
      </c>
      <c r="B2" s="3">
        <f t="shared" ref="B2:B6" si="1">(A2-120)*0.0074 + 1.94</f>
        <v>1.94</v>
      </c>
    </row>
    <row r="3">
      <c r="A3" s="2">
        <v>125.0</v>
      </c>
      <c r="B3" s="3">
        <f t="shared" si="1"/>
        <v>1.977</v>
      </c>
    </row>
    <row r="4">
      <c r="A4" s="2">
        <v>133.0</v>
      </c>
      <c r="B4" s="3">
        <f t="shared" si="1"/>
        <v>2.0362</v>
      </c>
    </row>
    <row r="5">
      <c r="A5" s="2">
        <v>133.0</v>
      </c>
      <c r="B5" s="3">
        <f t="shared" si="1"/>
        <v>2.0362</v>
      </c>
    </row>
    <row r="6">
      <c r="A6" s="2">
        <v>139.0</v>
      </c>
      <c r="B6" s="3">
        <f t="shared" si="1"/>
        <v>2.0806</v>
      </c>
    </row>
    <row r="7">
      <c r="A7" s="2">
        <v>151.0</v>
      </c>
      <c r="B7" s="2">
        <v>0.9</v>
      </c>
    </row>
    <row r="8">
      <c r="A8" s="2">
        <v>155.0</v>
      </c>
      <c r="B8" s="3">
        <f t="shared" ref="B8:B22" si="2">(A8-120)*0.0074 + 1.94</f>
        <v>2.199</v>
      </c>
    </row>
    <row r="9">
      <c r="A9" s="2">
        <v>170.0</v>
      </c>
      <c r="B9" s="3">
        <f t="shared" si="2"/>
        <v>2.31</v>
      </c>
    </row>
    <row r="10">
      <c r="A10" s="2">
        <v>182.0</v>
      </c>
      <c r="B10" s="3">
        <f t="shared" si="2"/>
        <v>2.3988</v>
      </c>
    </row>
    <row r="11">
      <c r="A11" s="2">
        <v>189.0</v>
      </c>
      <c r="B11" s="3">
        <f t="shared" si="2"/>
        <v>2.4506</v>
      </c>
    </row>
    <row r="12">
      <c r="A12" s="2">
        <v>202.0</v>
      </c>
      <c r="B12" s="3">
        <f t="shared" si="2"/>
        <v>2.5468</v>
      </c>
    </row>
    <row r="13">
      <c r="A13" s="2">
        <v>218.0</v>
      </c>
      <c r="B13" s="3">
        <f t="shared" si="2"/>
        <v>2.6652</v>
      </c>
    </row>
    <row r="14">
      <c r="A14" s="2">
        <v>220.0</v>
      </c>
      <c r="B14" s="3">
        <f t="shared" si="2"/>
        <v>2.68</v>
      </c>
    </row>
    <row r="15">
      <c r="A15" s="2">
        <v>221.0</v>
      </c>
      <c r="B15" s="3">
        <f t="shared" si="2"/>
        <v>2.6874</v>
      </c>
    </row>
    <row r="16">
      <c r="A16" s="2">
        <v>234.0</v>
      </c>
      <c r="B16" s="3">
        <f t="shared" si="2"/>
        <v>2.7836</v>
      </c>
    </row>
    <row r="17">
      <c r="A17" s="2">
        <v>240.0</v>
      </c>
      <c r="B17" s="3">
        <f t="shared" si="2"/>
        <v>2.828</v>
      </c>
    </row>
    <row r="18">
      <c r="A18" s="2">
        <v>248.0</v>
      </c>
      <c r="B18" s="3">
        <f t="shared" si="2"/>
        <v>2.8872</v>
      </c>
    </row>
    <row r="19">
      <c r="A19" s="2">
        <v>253.0</v>
      </c>
      <c r="B19" s="3">
        <f t="shared" si="2"/>
        <v>2.9242</v>
      </c>
    </row>
    <row r="20">
      <c r="A20" s="2">
        <v>260.0</v>
      </c>
      <c r="B20" s="3">
        <f t="shared" si="2"/>
        <v>2.976</v>
      </c>
    </row>
    <row r="21">
      <c r="A21" s="2">
        <v>265.0</v>
      </c>
      <c r="B21" s="3">
        <f t="shared" si="2"/>
        <v>3.013</v>
      </c>
    </row>
    <row r="22">
      <c r="A22" s="2">
        <v>268.0</v>
      </c>
      <c r="B22" s="3">
        <f t="shared" si="2"/>
        <v>3.0352</v>
      </c>
    </row>
    <row r="28">
      <c r="B28" s="3">
        <f>(3.03-1.94)/(268-120)</f>
        <v>0.007364864865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2">
        <v>120.0</v>
      </c>
      <c r="B2" s="3">
        <f t="shared" ref="B2:B22" si="1">(A2-120)*0.0074 + 1.94 + 0.1*sin(0.9*A2)</f>
        <v>2.032681851</v>
      </c>
    </row>
    <row r="3">
      <c r="A3" s="2">
        <v>125.0</v>
      </c>
      <c r="B3" s="3">
        <f t="shared" si="1"/>
        <v>1.920755861</v>
      </c>
    </row>
    <row r="4">
      <c r="A4" s="2">
        <v>133.0</v>
      </c>
      <c r="B4" s="3">
        <f t="shared" si="1"/>
        <v>2.067607212</v>
      </c>
    </row>
    <row r="5">
      <c r="A5" s="2">
        <v>133.0</v>
      </c>
      <c r="B5" s="3">
        <f t="shared" si="1"/>
        <v>2.067607212</v>
      </c>
    </row>
    <row r="6">
      <c r="A6" s="2">
        <v>139.0</v>
      </c>
      <c r="B6" s="3">
        <f t="shared" si="1"/>
        <v>2.027167741</v>
      </c>
    </row>
    <row r="7">
      <c r="A7" s="2">
        <v>151.0</v>
      </c>
      <c r="B7" s="3">
        <f t="shared" si="1"/>
        <v>2.096866845</v>
      </c>
    </row>
    <row r="8">
      <c r="A8" s="2">
        <v>155.0</v>
      </c>
      <c r="B8" s="3">
        <f t="shared" si="1"/>
        <v>2.294507811</v>
      </c>
    </row>
    <row r="9">
      <c r="A9" s="2">
        <v>170.0</v>
      </c>
      <c r="B9" s="3">
        <f t="shared" si="1"/>
        <v>2.390640058</v>
      </c>
    </row>
    <row r="10">
      <c r="A10" s="2">
        <v>182.0</v>
      </c>
      <c r="B10" s="3">
        <f t="shared" si="1"/>
        <v>2.44113882</v>
      </c>
    </row>
    <row r="11">
      <c r="A11" s="2">
        <v>189.0</v>
      </c>
      <c r="B11" s="3">
        <f t="shared" si="1"/>
        <v>2.494456087</v>
      </c>
    </row>
    <row r="12">
      <c r="A12" s="2">
        <v>202.0</v>
      </c>
      <c r="B12" s="3">
        <f t="shared" si="1"/>
        <v>2.506721464</v>
      </c>
    </row>
    <row r="13">
      <c r="A13" s="2">
        <v>218.0</v>
      </c>
      <c r="B13" s="3">
        <f t="shared" si="1"/>
        <v>2.764083959</v>
      </c>
    </row>
    <row r="14">
      <c r="A14" s="2">
        <v>220.0</v>
      </c>
      <c r="B14" s="3">
        <f t="shared" si="1"/>
        <v>2.672042141</v>
      </c>
    </row>
    <row r="15">
      <c r="A15" s="2">
        <v>221.0</v>
      </c>
      <c r="B15" s="3">
        <f t="shared" si="1"/>
        <v>2.604369049</v>
      </c>
    </row>
    <row r="16">
      <c r="A16" s="2">
        <v>234.0</v>
      </c>
      <c r="B16" s="3">
        <f t="shared" si="1"/>
        <v>2.772294999</v>
      </c>
    </row>
    <row r="17">
      <c r="A17" s="2">
        <v>240.0</v>
      </c>
      <c r="B17" s="3">
        <f t="shared" si="1"/>
        <v>2.897605849</v>
      </c>
    </row>
    <row r="18">
      <c r="A18" s="2">
        <v>248.0</v>
      </c>
      <c r="B18" s="3">
        <f t="shared" si="1"/>
        <v>2.872560641</v>
      </c>
    </row>
    <row r="19">
      <c r="A19" s="2">
        <v>253.0</v>
      </c>
      <c r="B19" s="3">
        <f t="shared" si="1"/>
        <v>3.023985778</v>
      </c>
    </row>
    <row r="20">
      <c r="A20" s="2">
        <v>260.0</v>
      </c>
      <c r="B20" s="3">
        <f t="shared" si="1"/>
        <v>3.075881669</v>
      </c>
    </row>
    <row r="21">
      <c r="A21" s="2">
        <v>265.0</v>
      </c>
      <c r="B21" s="3">
        <f t="shared" si="1"/>
        <v>2.987191293</v>
      </c>
    </row>
    <row r="22">
      <c r="A22" s="2">
        <v>268.0</v>
      </c>
      <c r="B22" s="3">
        <f t="shared" si="1"/>
        <v>3.099823029</v>
      </c>
    </row>
    <row r="28">
      <c r="B28" s="3">
        <f>(3.03-1.94)/(268-120)</f>
        <v>0.007364864865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2">
        <v>120.0</v>
      </c>
      <c r="B2" s="3">
        <f t="shared" ref="B2:B22" si="1">(A2-120)*0.0104 + 2.24 - (0.00001*A2*A2)</f>
        <v>2.096</v>
      </c>
    </row>
    <row r="3">
      <c r="A3" s="2">
        <v>125.0</v>
      </c>
      <c r="B3" s="3">
        <f t="shared" si="1"/>
        <v>2.13575</v>
      </c>
    </row>
    <row r="4">
      <c r="A4" s="2">
        <v>133.0</v>
      </c>
      <c r="B4" s="3">
        <f t="shared" si="1"/>
        <v>2.19831</v>
      </c>
    </row>
    <row r="5">
      <c r="A5" s="2">
        <v>133.0</v>
      </c>
      <c r="B5" s="3">
        <f t="shared" si="1"/>
        <v>2.19831</v>
      </c>
    </row>
    <row r="6">
      <c r="A6" s="2">
        <v>139.0</v>
      </c>
      <c r="B6" s="3">
        <f t="shared" si="1"/>
        <v>2.24439</v>
      </c>
    </row>
    <row r="7">
      <c r="A7" s="2">
        <v>151.0</v>
      </c>
      <c r="B7" s="3">
        <f t="shared" si="1"/>
        <v>2.33439</v>
      </c>
    </row>
    <row r="8">
      <c r="A8" s="2">
        <v>155.0</v>
      </c>
      <c r="B8" s="3">
        <f t="shared" si="1"/>
        <v>2.36375</v>
      </c>
    </row>
    <row r="9">
      <c r="A9" s="2">
        <v>170.0</v>
      </c>
      <c r="B9" s="3">
        <f t="shared" si="1"/>
        <v>2.471</v>
      </c>
    </row>
    <row r="10">
      <c r="A10" s="2">
        <v>182.0</v>
      </c>
      <c r="B10" s="3">
        <f t="shared" si="1"/>
        <v>2.55356</v>
      </c>
    </row>
    <row r="11">
      <c r="A11" s="2">
        <v>189.0</v>
      </c>
      <c r="B11" s="3">
        <f t="shared" si="1"/>
        <v>2.60039</v>
      </c>
    </row>
    <row r="12">
      <c r="A12" s="2">
        <v>202.0</v>
      </c>
      <c r="B12" s="3">
        <f t="shared" si="1"/>
        <v>2.68476</v>
      </c>
    </row>
    <row r="13">
      <c r="A13" s="2">
        <v>218.0</v>
      </c>
      <c r="B13" s="3">
        <f t="shared" si="1"/>
        <v>2.78396</v>
      </c>
    </row>
    <row r="14">
      <c r="A14" s="2">
        <v>220.0</v>
      </c>
      <c r="B14" s="3">
        <f t="shared" si="1"/>
        <v>2.796</v>
      </c>
    </row>
    <row r="15">
      <c r="A15" s="2">
        <v>221.0</v>
      </c>
      <c r="B15" s="3">
        <f t="shared" si="1"/>
        <v>2.80199</v>
      </c>
    </row>
    <row r="16">
      <c r="A16" s="2">
        <v>234.0</v>
      </c>
      <c r="B16" s="3">
        <f t="shared" si="1"/>
        <v>2.87804</v>
      </c>
    </row>
    <row r="17">
      <c r="A17" s="2">
        <v>240.0</v>
      </c>
      <c r="B17" s="3">
        <f t="shared" si="1"/>
        <v>2.912</v>
      </c>
    </row>
    <row r="18">
      <c r="A18" s="2">
        <v>248.0</v>
      </c>
      <c r="B18" s="3">
        <f t="shared" si="1"/>
        <v>2.95616</v>
      </c>
    </row>
    <row r="19">
      <c r="A19" s="2">
        <v>253.0</v>
      </c>
      <c r="B19" s="3">
        <f t="shared" si="1"/>
        <v>2.98311</v>
      </c>
    </row>
    <row r="20">
      <c r="A20" s="2">
        <v>260.0</v>
      </c>
      <c r="B20" s="3">
        <f t="shared" si="1"/>
        <v>3.02</v>
      </c>
    </row>
    <row r="21">
      <c r="A21" s="2">
        <v>265.0</v>
      </c>
      <c r="B21" s="3">
        <f t="shared" si="1"/>
        <v>3.04575</v>
      </c>
    </row>
    <row r="22">
      <c r="A22" s="2">
        <v>268.0</v>
      </c>
      <c r="B22" s="3">
        <f t="shared" si="1"/>
        <v>3.06096</v>
      </c>
    </row>
    <row r="28">
      <c r="B28" s="3">
        <f>(3.03-1.94)/(268-120)</f>
        <v>0.007364864865</v>
      </c>
    </row>
  </sheetData>
  <drawing r:id="rId1"/>
</worksheet>
</file>